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<sst xmlns="http://schemas.openxmlformats.org/spreadsheetml/2006/main" count="28" uniqueCount="28">
  <si>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Input</t>
  </si>
  <si>
    <t>Calc</t>
  </si>
  <si>
    <t>coeff fr.</t>
  </si>
  <si>
    <t>mass(kg)</t>
  </si>
  <si>
    <t>Bot voltage</t>
  </si>
  <si>
    <t>Torque (N-m)</t>
  </si>
  <si>
    <t>Traction Limit Force (N)</t>
  </si>
  <si>
    <t>bot info</t>
  </si>
  <si>
    <t>wheel dia(m)</t>
  </si>
  <si>
    <t>no. of wheels</t>
  </si>
  <si>
    <t>wheel info</t>
  </si>
  <si>
    <t>rated voltage</t>
  </si>
  <si>
    <t>stall current(A)</t>
  </si>
  <si>
    <t>Free RPM @ rated V</t>
  </si>
  <si>
    <t>No.of Motors</t>
  </si>
  <si>
    <t>Stall torque</t>
  </si>
  <si>
    <t>Ratio</t>
  </si>
  <si>
    <t>Top speed (m/s)</t>
  </si>
  <si>
    <t>Motor info (GA12-N20)</t>
  </si>
  <si>
    <t>C-rating</t>
  </si>
  <si>
    <t>Capacity (mAh)</t>
  </si>
  <si>
    <t>Battery Discharge current (mAh)</t>
  </si>
  <si>
    <t>Battery info</t>
  </si>
  <si>
    <t>Total Current Draw</t>
  </si>
  <si>
    <t>Runtime (h)</t>
  </si>
  <si>
    <t xml:space="preserve">Power </t>
  </si>
  <si>
    <t>desired speed(m/s)</t>
  </si>
  <si>
    <t>desired max acceleration(m/s^2)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</si>
</sst>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6100"/>
      <name val="Ubuntu"/>
    </font>
    <font>
      <b/>
      <sz val="11.0"/>
      <color rgb="FFFA7D00"/>
      <name val="Ubuntu"/>
    </font>
    <font>
      <b/>
      <color theme="1"/>
      <name val="Arial"/>
      <scheme val="minor"/>
    </font>
    <font>
      <color rgb="FF006100"/>
      <name val="Arial"/>
      <scheme val="minor"/>
    </font>
    <font>
      <color rgb="FFFA7D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1" fillId="0" fontId="1" numFmtId="0" xfId="0" applyBorder="1" applyFont="1"/>
    <xf borderId="1" fillId="0" fontId="4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3" fontId="6" numFmtId="0" xfId="0" applyBorder="1" applyFont="1"/>
    <xf borderId="1" fillId="2" fontId="5" numFmtId="0" xfId="0" applyBorder="1" applyFont="1"/>
    <xf borderId="1" fillId="0" fontId="4" numFmtId="0" xfId="0" applyBorder="1" applyFont="1"/>
    <xf borderId="1" fillId="3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4.88"/>
    <col customWidth="1" min="3" max="3" width="25.0"/>
    <col customWidth="1" min="4" max="4" width="26.75"/>
    <col customWidth="1" min="5" max="5" width="11.25"/>
    <col customWidth="1" min="7" max="7" width="19.75"/>
    <col customWidth="1" min="8" max="8" width="13.63"/>
  </cols>
  <sheetData>
    <row r="1">
      <c r="A1" s="1"/>
      <c r="B1" s="2" t="s">
        <v>0</v>
      </c>
      <c r="C1" s="3" t="s">
        <v>1</v>
      </c>
      <c r="D1" s="1"/>
      <c r="E1" s="1"/>
      <c r="F1" s="4"/>
      <c r="G1" s="4"/>
      <c r="H1" s="4"/>
    </row>
    <row r="2">
      <c r="A2" s="1"/>
      <c r="B2" s="1"/>
      <c r="C2" s="1"/>
      <c r="D2" s="1"/>
      <c r="E2" s="1"/>
      <c r="F2" s="4"/>
      <c r="G2" s="4"/>
      <c r="H2" s="4"/>
    </row>
    <row r="3">
      <c r="A3" s="1"/>
      <c r="B3" s="5" t="s">
        <v>2</v>
      </c>
      <c r="C3" s="5" t="s">
        <v>3</v>
      </c>
      <c r="D3" s="5" t="s">
        <v>4</v>
      </c>
      <c r="E3" s="5"/>
      <c r="F3" s="5" t="s">
        <v>5</v>
      </c>
      <c r="G3" s="5" t="s">
        <v>6</v>
      </c>
      <c r="H3" s="4"/>
    </row>
    <row r="4">
      <c r="A4" s="5" t="s">
        <v>7</v>
      </c>
      <c r="B4" s="6">
        <v>0.8</v>
      </c>
      <c r="C4" s="6">
        <v>1.5</v>
      </c>
      <c r="D4" s="6">
        <v>12.0</v>
      </c>
      <c r="E4" s="6"/>
      <c r="F4" s="7">
        <f>C4*C15*(B6/2)*2</f>
        <v>0.03</v>
      </c>
      <c r="G4" s="7">
        <f>B4*C4*9.81</f>
        <v>11.772</v>
      </c>
      <c r="H4" s="4"/>
    </row>
    <row r="5">
      <c r="A5" s="5"/>
      <c r="B5" s="5" t="s">
        <v>8</v>
      </c>
      <c r="C5" s="5" t="s">
        <v>9</v>
      </c>
      <c r="D5" s="4"/>
      <c r="E5" s="4"/>
      <c r="F5" s="4"/>
      <c r="G5" s="4"/>
      <c r="H5" s="4"/>
    </row>
    <row r="6">
      <c r="A6" s="5" t="s">
        <v>10</v>
      </c>
      <c r="B6" s="6">
        <v>0.02</v>
      </c>
      <c r="C6" s="6">
        <v>2.0</v>
      </c>
      <c r="D6" s="4"/>
      <c r="E6" s="4"/>
      <c r="F6" s="4"/>
      <c r="G6" s="4"/>
      <c r="H6" s="4"/>
    </row>
    <row r="7">
      <c r="A7" s="5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</row>
    <row r="8">
      <c r="A8" s="5" t="s">
        <v>18</v>
      </c>
      <c r="B8" s="6">
        <v>12.0</v>
      </c>
      <c r="C8" s="6">
        <v>1.0</v>
      </c>
      <c r="D8" s="6">
        <v>200.0</v>
      </c>
      <c r="E8" s="6">
        <v>2.0</v>
      </c>
      <c r="F8" s="8">
        <f>16*0.0981</f>
        <v>1.5696</v>
      </c>
      <c r="G8" s="6">
        <v>10.0</v>
      </c>
      <c r="H8" s="7">
        <f>PI()*B6*(D8/60)</f>
        <v>0.2094395102</v>
      </c>
    </row>
    <row r="9">
      <c r="A9" s="9"/>
      <c r="B9" s="5" t="s">
        <v>19</v>
      </c>
      <c r="C9" s="5" t="s">
        <v>20</v>
      </c>
      <c r="D9" s="5" t="s">
        <v>21</v>
      </c>
      <c r="E9" s="5"/>
      <c r="F9" s="9"/>
      <c r="G9" s="9"/>
      <c r="H9" s="4"/>
    </row>
    <row r="10">
      <c r="A10" s="5" t="s">
        <v>22</v>
      </c>
      <c r="B10" s="8"/>
      <c r="C10" s="6"/>
      <c r="D10" s="7">
        <f>(B10*1000)</f>
        <v>0</v>
      </c>
      <c r="E10" s="4"/>
      <c r="F10" s="4"/>
      <c r="G10" s="4"/>
      <c r="H10" s="4"/>
    </row>
    <row r="11">
      <c r="A11" s="9"/>
      <c r="B11" s="5" t="s">
        <v>23</v>
      </c>
      <c r="C11" s="5" t="s">
        <v>24</v>
      </c>
      <c r="D11" s="9"/>
      <c r="E11" s="9"/>
      <c r="F11" s="9"/>
      <c r="G11" s="9"/>
      <c r="H11" s="4"/>
    </row>
    <row r="12">
      <c r="A12" s="5" t="s">
        <v>25</v>
      </c>
      <c r="B12" s="10"/>
      <c r="C12" s="10" t="str">
        <f>C10/B12</f>
        <v>#DIV/0!</v>
      </c>
      <c r="D12" s="4"/>
      <c r="E12" s="4"/>
      <c r="F12" s="4"/>
      <c r="G12" s="4"/>
      <c r="H12" s="4"/>
    </row>
    <row r="13">
      <c r="A13" s="9"/>
      <c r="B13" s="1"/>
      <c r="C13" s="1"/>
      <c r="D13" s="4"/>
      <c r="E13" s="4"/>
      <c r="F13" s="4"/>
      <c r="G13" s="4"/>
      <c r="H13" s="4"/>
    </row>
    <row r="14">
      <c r="A14" s="9"/>
      <c r="B14" s="5" t="s">
        <v>26</v>
      </c>
      <c r="C14" s="5" t="s">
        <v>27</v>
      </c>
      <c r="D14" s="9"/>
      <c r="E14" s="9"/>
      <c r="F14" s="9"/>
      <c r="G14" s="9"/>
      <c r="H14" s="4"/>
    </row>
    <row r="15">
      <c r="A15" s="9"/>
      <c r="B15" s="6"/>
      <c r="C15" s="6">
        <v>1.0</v>
      </c>
      <c r="D15" s="4"/>
      <c r="E15" s="4"/>
      <c r="F15" s="4"/>
      <c r="G15" s="4"/>
      <c r="H15" s="4"/>
    </row>
  </sheetData>
  <drawing r:id="rId1"/>
</worksheet>
</file>
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train_Calc" sheetId="1" r:id="rId4"/>
    <sheet state="visible" name="Motor_Calc" sheetId="2" r:id="rId5"/>
  </sheets>
  <definedNames/>
  <calcPr/>
</workbook>
</file>

<file path=xl/sharedStrings.xml><?xml version="1.0" encoding="utf-8"?>
<sst xmlns="http://schemas.openxmlformats.org/spreadsheetml/2006/main" count="47" uniqueCount="46">
  <si>
    <t>Inputs</t>
  </si>
  <si>
    <t>Calculations</t>
  </si>
  <si>
    <t>coeff fr.</t>
  </si>
  <si>
    <t>chassis mass(kg)</t>
  </si>
  <si>
    <t>Bot voltage</t>
  </si>
  <si>
    <t>Electronics mass (kg)</t>
  </si>
  <si>
    <t>total bot mass (kg)</t>
  </si>
  <si>
    <t>bot info</t>
  </si>
  <si>
    <t>wheel dia(m)</t>
  </si>
  <si>
    <t>no. of wheels</t>
  </si>
  <si>
    <t>mass (kg)</t>
  </si>
  <si>
    <t>wheel info</t>
  </si>
  <si>
    <t>rated voltage</t>
  </si>
  <si>
    <t>stall current(A) per motor</t>
  </si>
  <si>
    <t>Free RPM @ rated V</t>
  </si>
  <si>
    <t>No.of Motors</t>
  </si>
  <si>
    <t>mass per motor (kg)</t>
  </si>
  <si>
    <t>Stall torque (N-m)</t>
  </si>
  <si>
    <t>Ratio</t>
  </si>
  <si>
    <t>Top speed (m/s)</t>
  </si>
  <si>
    <t>Torque Produced</t>
  </si>
  <si>
    <t>Motor info (GA12-N20)</t>
  </si>
  <si>
    <t>C-rating</t>
  </si>
  <si>
    <t>Capacity (mAh)</t>
  </si>
  <si>
    <t>Max Cont. Current (A)</t>
  </si>
  <si>
    <t>Battery info (2S-LiPo)</t>
  </si>
  <si>
    <t>Current Drawn (A)</t>
  </si>
  <si>
    <t>MCU (ESP-32)</t>
  </si>
  <si>
    <t>IMU (MPU-6050)</t>
  </si>
  <si>
    <t>Motor Driver (logic)</t>
  </si>
  <si>
    <t>Total Current Draw</t>
  </si>
  <si>
    <t>Runtime (h)</t>
  </si>
  <si>
    <t>Runtime (min)</t>
  </si>
  <si>
    <t>Power Info</t>
  </si>
  <si>
    <t>speed(m/s)</t>
  </si>
  <si>
    <t>max acceleration(m/s^2)</t>
  </si>
  <si>
    <t>Torque (N-m)</t>
  </si>
  <si>
    <t>Traction Limit Force (N)</t>
  </si>
  <si>
    <t>desired specs</t>
  </si>
  <si>
    <t>Supply Voltage</t>
  </si>
  <si>
    <t>RPM</t>
  </si>
  <si>
    <t>Rated Torque (kg.cm)</t>
  </si>
  <si>
    <t>Stall Torque (kg.cm)</t>
  </si>
  <si>
    <t>Rated Torque (N-m)</t>
  </si>
  <si>
    <t>Stall Torque (N-m)</t>
  </si>
  <si>
    <t>2s LiPo Battery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</si>
</sst>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6100"/>
      <name val="Ubuntu"/>
    </font>
    <font>
      <b/>
      <sz val="11.0"/>
      <color rgb="FFFA7D00"/>
      <name val="Ubuntu"/>
    </font>
    <font>
      <b/>
      <color theme="1"/>
      <name val="Arial"/>
      <scheme val="minor"/>
    </font>
    <font>
      <color rgb="FF006100"/>
      <name val="Arial"/>
      <scheme val="minor"/>
    </font>
    <font>
      <color rgb="FFFA7D00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2" fontId="5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1" fillId="2" fontId="5" numFmtId="0" xfId="0" applyAlignment="1" applyBorder="1" applyFont="1">
      <alignment horizontal="center"/>
    </xf>
    <xf borderId="1" fillId="3" fontId="6" numFmtId="0" xfId="0" applyAlignment="1" applyBorder="1" applyFont="1">
      <alignment horizontal="center"/>
    </xf>
    <xf borderId="0" fillId="0" fontId="1" numFmtId="0" xfId="0" applyFont="1"/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/>
    </xf>
    <xf borderId="3" fillId="0" fontId="7" numFmtId="0" xfId="0" applyBorder="1" applyFont="1"/>
    <xf borderId="4" fillId="0" fontId="7" numFmtId="0" xfId="0" applyBorder="1" applyFont="1"/>
    <xf borderId="0" fillId="0" fontId="1" numFmtId="0" xfId="0" applyAlignment="1" applyFont="1">
      <alignment horizontal="center"/>
    </xf>
    <xf borderId="1" fillId="0" fontId="4" numFmtId="0" xfId="0" applyAlignment="1" applyBorder="1" applyFont="1">
      <alignment readingOrder="0"/>
    </xf>
    <xf borderId="1" fillId="2" fontId="5" numFmtId="0" xfId="0" applyAlignment="1" applyBorder="1" applyFont="1">
      <alignment readingOrder="0"/>
    </xf>
    <xf borderId="1" fillId="3" fontId="6" numFmtId="0" xfId="0" applyAlignment="1" applyBorder="1" applyFont="1">
      <alignment readingOrder="0"/>
    </xf>
    <xf borderId="1" fillId="3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5.38"/>
    <col customWidth="1" min="3" max="3" width="21.13"/>
    <col customWidth="1" min="4" max="4" width="18.25"/>
    <col customWidth="1" min="5" max="5" width="19.75"/>
    <col customWidth="1" min="6" max="6" width="17.0"/>
    <col customWidth="1" min="7" max="7" width="15.88"/>
    <col customWidth="1" min="8" max="8" width="19.75"/>
    <col customWidth="1" min="9" max="9" width="13.63"/>
  </cols>
  <sheetData>
    <row r="1">
      <c r="A1" s="1"/>
      <c r="B1" s="2" t="s">
        <v>0</v>
      </c>
      <c r="C1" s="3" t="s">
        <v>1</v>
      </c>
      <c r="D1" s="1"/>
      <c r="E1" s="1"/>
      <c r="F1" s="1"/>
      <c r="G1" s="4"/>
      <c r="H1" s="4"/>
      <c r="I1" s="4"/>
    </row>
    <row r="2">
      <c r="A2" s="1"/>
      <c r="B2" s="1"/>
      <c r="C2" s="1"/>
      <c r="D2" s="1"/>
      <c r="E2" s="1"/>
      <c r="F2" s="1"/>
      <c r="G2" s="4"/>
      <c r="H2" s="4"/>
      <c r="I2" s="4"/>
    </row>
    <row r="3">
      <c r="A3" s="5"/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/>
      <c r="H3" s="6"/>
      <c r="I3" s="7"/>
    </row>
    <row r="4">
      <c r="A4" s="6" t="s">
        <v>7</v>
      </c>
      <c r="B4" s="8">
        <v>0.8</v>
      </c>
      <c r="C4" s="8">
        <v>0.04</v>
      </c>
      <c r="D4" s="8">
        <v>12.0</v>
      </c>
      <c r="E4" s="8">
        <v>0.03</v>
      </c>
      <c r="F4" s="9">
        <f>E8*F8+E10+C4+D6*C6+E4</f>
        <v>0.35</v>
      </c>
      <c r="G4" s="7"/>
      <c r="H4" s="7"/>
      <c r="I4" s="7"/>
    </row>
    <row r="5">
      <c r="A5" s="6"/>
      <c r="B5" s="6" t="s">
        <v>8</v>
      </c>
      <c r="C5" s="6" t="s">
        <v>9</v>
      </c>
      <c r="D5" s="6" t="s">
        <v>10</v>
      </c>
      <c r="E5" s="7"/>
      <c r="F5" s="7"/>
      <c r="G5" s="7"/>
      <c r="H5" s="7"/>
      <c r="I5" s="7"/>
    </row>
    <row r="6">
      <c r="A6" s="6" t="s">
        <v>11</v>
      </c>
      <c r="B6" s="8">
        <v>0.1</v>
      </c>
      <c r="C6" s="8">
        <v>2.0</v>
      </c>
      <c r="D6" s="8">
        <v>0.03</v>
      </c>
      <c r="E6" s="7"/>
      <c r="F6" s="7"/>
      <c r="G6" s="7"/>
      <c r="H6" s="7"/>
      <c r="I6" s="7"/>
    </row>
    <row r="7">
      <c r="A7" s="6"/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10" t="s">
        <v>20</v>
      </c>
    </row>
    <row r="8">
      <c r="A8" s="6" t="s">
        <v>21</v>
      </c>
      <c r="B8" s="8">
        <v>6.0</v>
      </c>
      <c r="C8" s="8">
        <v>1.0</v>
      </c>
      <c r="D8" s="8">
        <v>100.0</v>
      </c>
      <c r="E8" s="8">
        <v>2.0</v>
      </c>
      <c r="F8" s="8">
        <v>0.01</v>
      </c>
      <c r="G8" s="11">
        <f>IFS(B8=3, Motor_Calc!G4, B8=6, Motor_Calc!G5, B8=12, Motor_Calc!G6)</f>
        <v>1.5696</v>
      </c>
      <c r="H8" s="8">
        <v>10.0</v>
      </c>
      <c r="I8" s="12">
        <f>PI()*B6*(D8/60)</f>
        <v>0.5235987756</v>
      </c>
      <c r="J8" s="13">
        <f>G8*H8</f>
        <v>15.696</v>
      </c>
    </row>
    <row r="9">
      <c r="A9" s="14"/>
      <c r="B9" s="6" t="s">
        <v>22</v>
      </c>
      <c r="C9" s="6" t="s">
        <v>23</v>
      </c>
      <c r="D9" s="6" t="s">
        <v>24</v>
      </c>
      <c r="E9" s="6" t="s">
        <v>10</v>
      </c>
      <c r="F9" s="6"/>
      <c r="G9" s="14"/>
      <c r="H9" s="14"/>
      <c r="I9" s="7"/>
    </row>
    <row r="10">
      <c r="A10" s="6" t="s">
        <v>25</v>
      </c>
      <c r="B10" s="8">
        <v>30.0</v>
      </c>
      <c r="C10" s="8">
        <v>850.0</v>
      </c>
      <c r="D10" s="12">
        <f>B10*(C10/1000)</f>
        <v>25.5</v>
      </c>
      <c r="E10" s="8">
        <v>0.2</v>
      </c>
      <c r="F10" s="7"/>
      <c r="G10" s="7"/>
      <c r="H10" s="7"/>
      <c r="I10" s="7"/>
    </row>
    <row r="11">
      <c r="A11" s="14"/>
      <c r="B11" s="6"/>
      <c r="C11" s="6"/>
      <c r="D11" s="14"/>
      <c r="E11" s="14"/>
      <c r="F11" s="14"/>
      <c r="G11" s="14"/>
      <c r="H11" s="14"/>
      <c r="I11" s="7"/>
    </row>
    <row r="12">
      <c r="A12" s="14"/>
      <c r="B12" s="15" t="s">
        <v>26</v>
      </c>
      <c r="C12" s="16"/>
      <c r="D12" s="17"/>
      <c r="E12" s="14"/>
      <c r="F12" s="14"/>
      <c r="G12" s="14"/>
      <c r="H12" s="14"/>
      <c r="I12" s="7"/>
    </row>
    <row r="13">
      <c r="A13" s="18"/>
      <c r="B13" s="6" t="s">
        <v>27</v>
      </c>
      <c r="C13" s="6" t="s">
        <v>28</v>
      </c>
      <c r="D13" s="6" t="s">
        <v>29</v>
      </c>
      <c r="E13" s="14"/>
      <c r="F13" s="14"/>
      <c r="G13" s="6" t="s">
        <v>30</v>
      </c>
      <c r="H13" s="6" t="s">
        <v>31</v>
      </c>
      <c r="I13" s="6" t="s">
        <v>32</v>
      </c>
    </row>
    <row r="14">
      <c r="A14" s="6" t="s">
        <v>33</v>
      </c>
      <c r="B14" s="8">
        <v>0.15</v>
      </c>
      <c r="C14" s="8">
        <v>0.005</v>
      </c>
      <c r="D14" s="8"/>
      <c r="E14" s="7"/>
      <c r="F14" s="7"/>
      <c r="G14" s="9">
        <f>B14+C14+D14+C8*E8</f>
        <v>2.155</v>
      </c>
      <c r="H14" s="9">
        <f>(C10/1000)/G14</f>
        <v>0.3944315545</v>
      </c>
      <c r="I14" s="12">
        <f>H14*60</f>
        <v>23.66589327</v>
      </c>
    </row>
    <row r="15">
      <c r="A15" s="14"/>
      <c r="B15" s="5"/>
      <c r="C15" s="5"/>
      <c r="D15" s="7"/>
      <c r="E15" s="7"/>
      <c r="F15" s="7"/>
      <c r="G15" s="7"/>
      <c r="H15" s="7"/>
      <c r="I15" s="7"/>
    </row>
    <row r="16">
      <c r="A16" s="14"/>
      <c r="B16" s="6" t="s">
        <v>34</v>
      </c>
      <c r="C16" s="6" t="s">
        <v>35</v>
      </c>
      <c r="D16" s="6" t="s">
        <v>36</v>
      </c>
      <c r="E16" s="6" t="s">
        <v>37</v>
      </c>
      <c r="F16" s="14"/>
      <c r="G16" s="14"/>
      <c r="H16" s="14"/>
      <c r="I16" s="7"/>
    </row>
    <row r="17">
      <c r="A17" s="6" t="s">
        <v>38</v>
      </c>
      <c r="B17" s="8">
        <v>1.0</v>
      </c>
      <c r="C17" s="8">
        <v>1.0</v>
      </c>
      <c r="D17" s="12">
        <f>F4*C17*B6</f>
        <v>0.035</v>
      </c>
      <c r="E17" s="12">
        <f>B4*F4*9.81</f>
        <v>2.7468</v>
      </c>
      <c r="F17" s="7"/>
      <c r="G17" s="7"/>
      <c r="H17" s="7"/>
      <c r="I17" s="7"/>
    </row>
  </sheetData>
  <mergeCells count="1">
    <mergeCell ref="B12:D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  <col customWidth="1" min="5" max="5" width="16.88"/>
    <col customWidth="1" min="6" max="6" width="15.75"/>
    <col customWidth="1" min="7" max="7" width="14.5"/>
  </cols>
  <sheetData>
    <row r="3">
      <c r="A3" s="1"/>
      <c r="B3" s="19" t="s">
        <v>39</v>
      </c>
      <c r="C3" s="19" t="s">
        <v>40</v>
      </c>
      <c r="D3" s="19" t="s">
        <v>41</v>
      </c>
      <c r="E3" s="19" t="s">
        <v>42</v>
      </c>
      <c r="F3" s="19" t="s">
        <v>43</v>
      </c>
      <c r="G3" s="19" t="s">
        <v>44</v>
      </c>
    </row>
    <row r="4">
      <c r="A4" s="1"/>
      <c r="B4" s="20">
        <v>3.0</v>
      </c>
      <c r="C4" s="20">
        <v>50.0</v>
      </c>
      <c r="D4" s="1">
        <v>1.0</v>
      </c>
      <c r="E4" s="1">
        <v>8.0</v>
      </c>
      <c r="F4" s="4">
        <f t="shared" ref="F4:G4" si="1">0.0981*D4</f>
        <v>0.0981</v>
      </c>
      <c r="G4" s="4">
        <f t="shared" si="1"/>
        <v>0.7848</v>
      </c>
    </row>
    <row r="5">
      <c r="A5" s="1"/>
      <c r="B5" s="20">
        <v>6.0</v>
      </c>
      <c r="C5" s="20">
        <v>100.0</v>
      </c>
      <c r="D5" s="1">
        <v>2.0</v>
      </c>
      <c r="E5" s="1">
        <v>16.0</v>
      </c>
      <c r="F5" s="4">
        <f t="shared" ref="F5:G5" si="2">0.0981*D5</f>
        <v>0.1962</v>
      </c>
      <c r="G5" s="4">
        <f t="shared" si="2"/>
        <v>1.5696</v>
      </c>
    </row>
    <row r="6">
      <c r="A6" s="1"/>
      <c r="B6" s="20">
        <v>12.0</v>
      </c>
      <c r="C6" s="20">
        <v>200.0</v>
      </c>
      <c r="D6" s="1">
        <v>4.0</v>
      </c>
      <c r="E6" s="1">
        <v>32.0</v>
      </c>
      <c r="F6" s="4">
        <f t="shared" ref="F6:G6" si="3">0.0981*D6</f>
        <v>0.3924</v>
      </c>
      <c r="G6" s="4">
        <f t="shared" si="3"/>
        <v>3.1392</v>
      </c>
    </row>
    <row r="7">
      <c r="A7" s="19" t="s">
        <v>45</v>
      </c>
      <c r="B7" s="21">
        <v>7.4</v>
      </c>
      <c r="C7" s="22">
        <f>B7/B5 * C5</f>
        <v>123.3333333</v>
      </c>
      <c r="D7" s="22">
        <f>(B7/B5)*D5</f>
        <v>2.466666667</v>
      </c>
      <c r="E7" s="22">
        <f>B7/B5 * E5</f>
        <v>19.73333333</v>
      </c>
      <c r="F7" s="22">
        <f t="shared" ref="F7:G7" si="4">0.0981*D7</f>
        <v>0.24198</v>
      </c>
      <c r="G7" s="22">
        <f t="shared" si="4"/>
        <v>1.93584</v>
      </c>
    </row>
  </sheetData>
  <drawing r:id="rId1"/>
</worksheet>
</file>